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in45904821/Downloads/live_quiz_leaderboard_excel_dynamic/"/>
    </mc:Choice>
  </mc:AlternateContent>
  <xr:revisionPtr revIDLastSave="0" documentId="13_ncr:1_{854E6657-3527-B541-85CF-425BDE7B5E64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Score Entry" sheetId="1" r:id="rId1"/>
    <sheet name="Dashboard" sheetId="2" r:id="rId2"/>
    <sheet name="Host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C5" i="2"/>
  <c r="B5" i="2"/>
  <c r="A5" i="2"/>
  <c r="G14" i="1"/>
  <c r="G13" i="1"/>
  <c r="G12" i="1"/>
  <c r="G11" i="1"/>
  <c r="G10" i="1"/>
  <c r="G9" i="1"/>
  <c r="G8" i="1"/>
  <c r="G7" i="1"/>
  <c r="G6" i="1"/>
  <c r="G5" i="1"/>
  <c r="H11" i="1" l="1"/>
  <c r="H12" i="1"/>
  <c r="H7" i="1"/>
  <c r="H13" i="1"/>
  <c r="H10" i="1"/>
  <c r="H6" i="1"/>
  <c r="H14" i="1"/>
  <c r="H9" i="1"/>
  <c r="H8" i="1"/>
  <c r="K8" i="2"/>
  <c r="H5" i="1"/>
  <c r="K4" i="2" l="1"/>
</calcChain>
</file>

<file path=xl/sharedStrings.xml><?xml version="1.0" encoding="utf-8"?>
<sst xmlns="http://schemas.openxmlformats.org/spreadsheetml/2006/main" count="32" uniqueCount="30">
  <si>
    <t>🏆 CORPORATE QUIZ CONTROL PANEL</t>
  </si>
  <si>
    <t>Team</t>
  </si>
  <si>
    <t>Round 1</t>
  </si>
  <si>
    <t>Round 2</t>
  </si>
  <si>
    <t>Round 3</t>
  </si>
  <si>
    <t>Round 4</t>
  </si>
  <si>
    <t>Round 5</t>
  </si>
  <si>
    <t>Total</t>
  </si>
  <si>
    <t>Rank</t>
  </si>
  <si>
    <t>🏆 LIVE LEADERBOARD</t>
  </si>
  <si>
    <t>Score</t>
  </si>
  <si>
    <t>🥇 Leader</t>
  </si>
  <si>
    <t>🎯 Highest Score</t>
  </si>
  <si>
    <t>📊 Teams</t>
  </si>
  <si>
    <t>Host Workflow</t>
  </si>
  <si>
    <t>1. Enter scores only on the Score Entry sheet.</t>
  </si>
  <si>
    <t>2. Project the Dashboard sheet.</t>
  </si>
  <si>
    <t>3. After each round, update scores and press F9 if needed.</t>
  </si>
  <si>
    <t>4. Use Zoom at 125-150% for projector.</t>
  </si>
  <si>
    <t>5. Freeze panes for easy entry.</t>
  </si>
  <si>
    <t>Red Team</t>
  </si>
  <si>
    <t>Blue Team</t>
  </si>
  <si>
    <t>Ghosts in the Shell</t>
  </si>
  <si>
    <t>Zero Days</t>
  </si>
  <si>
    <t>Byte Bandits</t>
  </si>
  <si>
    <t>The Firewalls</t>
  </si>
  <si>
    <t>The Dark Web Divers</t>
  </si>
  <si>
    <t>Phantom Protocol</t>
  </si>
  <si>
    <t>The Encryptors</t>
  </si>
  <si>
    <t>Cipher Punks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</si>
</sst>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b/>
      <sz val="11"/>
      <color rgb="FFFFFFFF"/>
      <name val="Calibri"/>
      <family val="2"/>
    </font>
    <font>
      <b/>
      <sz val="28"/>
      <color rgb="FFFFFFFF"/>
      <name val="Calibri"/>
      <family val="2"/>
    </font>
    <font>
      <b/>
      <sz val="14"/>
      <color rgb="FFFACC15"/>
      <name val="Calibri"/>
      <family val="2"/>
    </font>
    <font>
      <b/>
      <sz val="16"/>
      <color rgb="FF22C55E"/>
      <name val="Calibri"/>
      <family val="2"/>
    </font>
    <font>
      <b/>
      <sz val="14"/>
      <color rgb="FFFFFFFF"/>
      <name val="Calibri"/>
      <family val="2"/>
    </font>
    <font>
      <b/>
      <sz val="1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6B6D4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4" borderId="0" xfId="0" applyFill="1"/>
    <xf numFmtId="0" fontId="6" fillId="3" borderId="0" xfId="0" applyFont="1" applyFill="1"/>
    <xf numFmtId="0" fontId="4" fillId="4" borderId="0" xfId="0" applyFont="1" applyFill="1"/>
    <xf numFmtId="0" fontId="5" fillId="4" borderId="0" xfId="0" applyFont="1" applyFill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Team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'Score Entry'!$G$4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'Score Entry'!$A$5:$A$14</c:f>
              <c:strCache>
                <c:ptCount val="10"/>
                <c:pt idx="0">
                  <c:v>Red Team</c:v>
                </c:pt>
                <c:pt idx="1">
                  <c:v>Blue Team</c:v>
                </c:pt>
                <c:pt idx="2">
                  <c:v>Ghosts in the Shell</c:v>
                </c:pt>
                <c:pt idx="3">
                  <c:v>Zero Days</c:v>
                </c:pt>
                <c:pt idx="4">
                  <c:v>Byte Bandits</c:v>
                </c:pt>
                <c:pt idx="5">
                  <c:v>The Firewalls</c:v>
                </c:pt>
                <c:pt idx="6">
                  <c:v>The Dark Web Divers</c:v>
                </c:pt>
                <c:pt idx="7">
                  <c:v>Phantom Protocol</c:v>
                </c:pt>
                <c:pt idx="8">
                  <c:v>The Encryptors</c:v>
                </c:pt>
                <c:pt idx="9">
                  <c:v>Cipher Punks</c:v>
                </c:pt>
              </c:strCache>
            </c:strRef>
          </c:cat>
          <c:val>
            <c:numRef>
              <c:f>'Score Entry'!$G$5:$G$14</c:f>
              <c:numCache>
                <c:formatCode>General</c:formatCode>
                <c:ptCount val="10"/>
                <c:pt idx="0">
                  <c:v>13</c:v>
                </c:pt>
                <c:pt idx="1">
                  <c:v>25</c:v>
                </c:pt>
                <c:pt idx="2">
                  <c:v>12</c:v>
                </c:pt>
                <c:pt idx="3">
                  <c:v>25</c:v>
                </c:pt>
                <c:pt idx="4">
                  <c:v>35</c:v>
                </c:pt>
                <c:pt idx="5">
                  <c:v>44</c:v>
                </c:pt>
                <c:pt idx="6">
                  <c:v>24</c:v>
                </c:pt>
                <c:pt idx="7">
                  <c:v>4</c:v>
                </c:pt>
                <c:pt idx="8">
                  <c:v>22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6-A84C-AA08-E8B4B325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355600</xdr:colOff>
      <xdr:row>13</xdr:row>
      <xdr:rowOff>101600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2" width="15" customWidth="1"/>
  </cols>
  <sheetData>
    <row r="1" spans="1:8" x14ac:dyDescent="0.2">
      <c r="A1" s="8" t="s">
        <v>0</v>
      </c>
      <c r="B1" s="9"/>
      <c r="C1" s="9"/>
      <c r="D1" s="9"/>
      <c r="E1" s="9"/>
      <c r="F1" s="9"/>
      <c r="G1" s="9"/>
      <c r="H1" s="9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4" spans="1:8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">
      <c r="A5" t="s">
        <v>20</v>
      </c>
      <c r="B5" s="2">
        <v>10</v>
      </c>
      <c r="C5" s="2">
        <v>3</v>
      </c>
      <c r="D5" s="2"/>
      <c r="E5" s="2"/>
      <c r="F5" s="2"/>
      <c r="G5" s="2">
        <f t="shared" ref="G5:G14" si="0">SUM(B5:F5)</f>
        <v>13</v>
      </c>
      <c r="H5" s="2">
        <f t="shared" ref="H5:H14" si="1">RANK(G5,$G$5:$G$14,0)</f>
        <v>8</v>
      </c>
    </row>
    <row r="6" spans="1:8" x14ac:dyDescent="0.2">
      <c r="A6" t="s">
        <v>21</v>
      </c>
      <c r="B6" s="2">
        <v>22</v>
      </c>
      <c r="C6" s="2">
        <v>3</v>
      </c>
      <c r="D6" s="2"/>
      <c r="E6" s="2"/>
      <c r="F6" s="2"/>
      <c r="G6" s="2">
        <f t="shared" si="0"/>
        <v>25</v>
      </c>
      <c r="H6" s="2">
        <f t="shared" si="1"/>
        <v>4</v>
      </c>
    </row>
    <row r="7" spans="1:8" x14ac:dyDescent="0.2">
      <c r="A7" t="s">
        <v>22</v>
      </c>
      <c r="B7" s="2">
        <v>11</v>
      </c>
      <c r="C7" s="2">
        <v>1</v>
      </c>
      <c r="D7" s="2"/>
      <c r="E7" s="2"/>
      <c r="F7" s="2"/>
      <c r="G7" s="2">
        <f t="shared" si="0"/>
        <v>12</v>
      </c>
      <c r="H7" s="2">
        <f t="shared" si="1"/>
        <v>9</v>
      </c>
    </row>
    <row r="8" spans="1:8" x14ac:dyDescent="0.2">
      <c r="A8" t="s">
        <v>23</v>
      </c>
      <c r="B8" s="2">
        <v>22</v>
      </c>
      <c r="C8" s="2">
        <v>3</v>
      </c>
      <c r="D8" s="2"/>
      <c r="E8" s="2"/>
      <c r="F8" s="2"/>
      <c r="G8" s="2">
        <f t="shared" si="0"/>
        <v>25</v>
      </c>
      <c r="H8" s="2">
        <f t="shared" si="1"/>
        <v>4</v>
      </c>
    </row>
    <row r="9" spans="1:8" x14ac:dyDescent="0.2">
      <c r="A9" t="s">
        <v>24</v>
      </c>
      <c r="B9" s="2">
        <v>33</v>
      </c>
      <c r="C9" s="2">
        <v>2</v>
      </c>
      <c r="D9" s="2"/>
      <c r="E9" s="2"/>
      <c r="F9" s="2"/>
      <c r="G9" s="2">
        <f t="shared" si="0"/>
        <v>35</v>
      </c>
      <c r="H9" s="2">
        <f t="shared" si="1"/>
        <v>3</v>
      </c>
    </row>
    <row r="10" spans="1:8" x14ac:dyDescent="0.2">
      <c r="A10" t="s">
        <v>25</v>
      </c>
      <c r="B10" s="2">
        <v>43</v>
      </c>
      <c r="C10" s="2">
        <v>1</v>
      </c>
      <c r="D10" s="2"/>
      <c r="E10" s="2"/>
      <c r="F10" s="2"/>
      <c r="G10" s="2">
        <f t="shared" si="0"/>
        <v>44</v>
      </c>
      <c r="H10" s="2">
        <f t="shared" si="1"/>
        <v>1</v>
      </c>
    </row>
    <row r="11" spans="1:8" x14ac:dyDescent="0.2">
      <c r="A11" t="s">
        <v>26</v>
      </c>
      <c r="B11" s="2">
        <v>21</v>
      </c>
      <c r="C11" s="2">
        <v>3</v>
      </c>
      <c r="D11" s="2"/>
      <c r="E11" s="2"/>
      <c r="F11" s="2"/>
      <c r="G11" s="2">
        <f t="shared" si="0"/>
        <v>24</v>
      </c>
      <c r="H11" s="2">
        <f t="shared" si="1"/>
        <v>6</v>
      </c>
    </row>
    <row r="12" spans="1:8" x14ac:dyDescent="0.2">
      <c r="A12" t="s">
        <v>27</v>
      </c>
      <c r="B12" s="2">
        <v>3</v>
      </c>
      <c r="C12" s="2">
        <v>1</v>
      </c>
      <c r="D12" s="2"/>
      <c r="E12" s="2"/>
      <c r="F12" s="2"/>
      <c r="G12" s="2">
        <f t="shared" si="0"/>
        <v>4</v>
      </c>
      <c r="H12" s="2">
        <f t="shared" si="1"/>
        <v>10</v>
      </c>
    </row>
    <row r="13" spans="1:8" x14ac:dyDescent="0.2">
      <c r="A13" t="s">
        <v>28</v>
      </c>
      <c r="B13" s="2">
        <v>1</v>
      </c>
      <c r="C13" s="2">
        <v>21</v>
      </c>
      <c r="D13" s="2"/>
      <c r="E13" s="2"/>
      <c r="F13" s="2"/>
      <c r="G13" s="2">
        <f t="shared" si="0"/>
        <v>22</v>
      </c>
      <c r="H13" s="2">
        <f t="shared" si="1"/>
        <v>7</v>
      </c>
    </row>
    <row r="14" spans="1:8" x14ac:dyDescent="0.2">
      <c r="A14" t="s">
        <v>29</v>
      </c>
      <c r="B14" s="2">
        <v>34</v>
      </c>
      <c r="C14" s="2">
        <v>2</v>
      </c>
      <c r="D14" s="2"/>
      <c r="E14" s="2"/>
      <c r="F14" s="2"/>
      <c r="G14" s="2">
        <f t="shared" si="0"/>
        <v>36</v>
      </c>
      <c r="H14" s="2">
        <f t="shared" si="1"/>
        <v>2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workbookViewId="0">
      <selection sqref="A1:M2"/>
    </sheetView>
  </sheetViews>
  <sheetFormatPr baseColWidth="10" defaultColWidth="8.83203125" defaultRowHeight="15" x14ac:dyDescent="0.2"/>
  <sheetData>
    <row r="1" spans="1:13" x14ac:dyDescent="0.2">
      <c r="A1" s="10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1" x14ac:dyDescent="0.25">
      <c r="A4" s="4" t="s">
        <v>8</v>
      </c>
      <c r="B4" s="4" t="s">
        <v>1</v>
      </c>
      <c r="C4" s="4" t="s">
        <v>10</v>
      </c>
      <c r="D4" s="3"/>
      <c r="E4" s="3"/>
      <c r="F4" s="3"/>
      <c r="G4" s="3"/>
      <c r="H4" s="3"/>
      <c r="I4" s="3"/>
      <c r="J4" s="5" t="s">
        <v>11</v>
      </c>
      <c r="K4" s="6" t="str">
        <f>INDEX('Score Entry'!A5:A14,MATCH(1,'Score Entry'!H5:H14,0))</f>
        <v>The Firewalls</v>
      </c>
      <c r="L4" s="3"/>
      <c r="M4" s="3"/>
    </row>
    <row r="5" spans="1:13" x14ac:dyDescent="0.2">
      <c r="A5" s="3" t="e">
        <f ca="1">_xludf.SORTBY('Score Entry'!H5:H14,'Score Entry'!H5:H14,1)</f>
        <v>#NAME?</v>
      </c>
      <c r="B5" s="3" t="e">
        <f ca="1">_xludf.SORTBY('Score Entry'!A5:A14,'Score Entry'!H5:H14,1)</f>
        <v>#NAME?</v>
      </c>
      <c r="C5" s="3" t="e">
        <f ca="1">_xludf.SORTBY('Score Entry'!G5:G14,'Score Entry'!H5:H14,1)</f>
        <v>#NAME?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1" x14ac:dyDescent="0.25">
      <c r="A8" s="3"/>
      <c r="B8" s="3"/>
      <c r="C8" s="3"/>
      <c r="D8" s="3"/>
      <c r="E8" s="3"/>
      <c r="F8" s="3"/>
      <c r="G8" s="3"/>
      <c r="H8" s="3"/>
      <c r="I8" s="3"/>
      <c r="J8" s="5" t="s">
        <v>12</v>
      </c>
      <c r="K8" s="6">
        <f>MAX('Score Entry'!G5:G14)</f>
        <v>44</v>
      </c>
      <c r="L8" s="3"/>
      <c r="M8" s="3"/>
    </row>
    <row r="9" spans="1:13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21" x14ac:dyDescent="0.25">
      <c r="A12" s="3"/>
      <c r="B12" s="3"/>
      <c r="C12" s="3"/>
      <c r="D12" s="3"/>
      <c r="E12" s="3"/>
      <c r="F12" s="3"/>
      <c r="G12" s="3"/>
      <c r="H12" s="3"/>
      <c r="I12" s="3"/>
      <c r="J12" s="5" t="s">
        <v>13</v>
      </c>
      <c r="K12" s="6">
        <f>COUNTA('Score Entry'!A5:A14)</f>
        <v>10</v>
      </c>
      <c r="L12" s="3"/>
      <c r="M12" s="3"/>
    </row>
    <row r="13" spans="1:13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mergeCells count="1">
    <mergeCell ref="A1:M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3203125" defaultRowHeight="15" x14ac:dyDescent="0.2"/>
  <sheetData>
    <row r="1" spans="1:1" ht="24" x14ac:dyDescent="0.3">
      <c r="A1" s="7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  <row r="7" spans="1:1" x14ac:dyDescent="0.2">
      <c r="A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Entry</vt:lpstr>
      <vt:lpstr>Dashboard</vt:lpstr>
      <vt:lpstr>Host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M S, Vinay</cp:lastModifiedBy>
  <dcterms:created xsi:type="dcterms:W3CDTF">2026-07-06T12:04:10Z</dcterms:created>
  <dcterms:modified xsi:type="dcterms:W3CDTF">2026-07-06T13:28:29Z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3bcc5-af7f-4e3c-8d4c-726a9a6f8de8_Enabled">
    <vt:lpwstr>true</vt:lpwstr>
  </property>
  <property fmtid="{D5CDD505-2E9C-101B-9397-08002B2CF9AE}" pid="3" name="MSIP_Label_bfa3bcc5-af7f-4e3c-8d4c-726a9a6f8de8_SetDate">
    <vt:lpwstr>2026-07-06T12:18:06Z</vt:lpwstr>
  </property>
  <property fmtid="{D5CDD505-2E9C-101B-9397-08002B2CF9AE}" pid="4" name="MSIP_Label_bfa3bcc5-af7f-4e3c-8d4c-726a9a6f8de8_Method">
    <vt:lpwstr>Standard</vt:lpwstr>
  </property>
  <property fmtid="{D5CDD505-2E9C-101B-9397-08002B2CF9AE}" pid="5" name="MSIP_Label_bfa3bcc5-af7f-4e3c-8d4c-726a9a6f8de8_Name">
    <vt:lpwstr>bfa3bcc5-af7f-4e3c-8d4c-726a9a6f8de8</vt:lpwstr>
  </property>
  <property fmtid="{D5CDD505-2E9C-101B-9397-08002B2CF9AE}" pid="6" name="MSIP_Label_bfa3bcc5-af7f-4e3c-8d4c-726a9a6f8de8_SiteId">
    <vt:lpwstr>3928808b-8a46-426b-8f87-051a36bb2f91</vt:lpwstr>
  </property>
  <property fmtid="{D5CDD505-2E9C-101B-9397-08002B2CF9AE}" pid="7" name="MSIP_Label_bfa3bcc5-af7f-4e3c-8d4c-726a9a6f8de8_ActionId">
    <vt:lpwstr>cbea9c2d-0c0e-4382-a4f4-7183d5681611</vt:lpwstr>
  </property>
  <property fmtid="{D5CDD505-2E9C-101B-9397-08002B2CF9AE}" pid="8" name="MSIP_Label_bfa3bcc5-af7f-4e3c-8d4c-726a9a6f8de8_ContentBits">
    <vt:lpwstr>0</vt:lpwstr>
  </property>
  <property fmtid="{D5CDD505-2E9C-101B-9397-08002B2CF9AE}" pid="9" name="MSIP_Label_bfa3bcc5-af7f-4e3c-8d4c-726a9a6f8de8_Tag">
    <vt:lpwstr>50, 3, 0, 1</vt:lpwstr>
  </property>
</Properties>
</file>